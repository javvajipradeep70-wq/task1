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9fc6916bb932cb/Documents/"/>
    </mc:Choice>
  </mc:AlternateContent>
  <xr:revisionPtr revIDLastSave="98" documentId="8_{5ADFFE95-4FDC-4C7F-A655-648780AC7027}" xr6:coauthVersionLast="47" xr6:coauthVersionMax="47" xr10:uidLastSave="{E92CBACD-35E2-42CD-83B4-9C7473ECA319}"/>
  <bookViews>
    <workbookView xWindow="-110" yWindow="-110" windowWidth="19420" windowHeight="10300" xr2:uid="{C6ADCB83-470A-4235-A55B-7332E9D20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1" l="1"/>
  <c r="P71" i="1"/>
  <c r="P70" i="1"/>
  <c r="P69" i="1"/>
  <c r="P68" i="1"/>
  <c r="P63" i="1"/>
  <c r="P62" i="1"/>
  <c r="P61" i="1"/>
  <c r="P60" i="1"/>
  <c r="P59" i="1"/>
  <c r="R80" i="1"/>
  <c r="R79" i="1"/>
  <c r="R78" i="1"/>
  <c r="R77" i="1"/>
  <c r="R76" i="1"/>
  <c r="S52" i="1"/>
  <c r="S51" i="1"/>
  <c r="S50" i="1"/>
  <c r="S49" i="1"/>
  <c r="S48" i="1"/>
  <c r="R44" i="1"/>
  <c r="R43" i="1"/>
  <c r="R42" i="1"/>
  <c r="R41" i="1"/>
  <c r="R40" i="1"/>
  <c r="R36" i="1"/>
  <c r="R35" i="1"/>
  <c r="R34" i="1"/>
  <c r="R33" i="1"/>
  <c r="R32" i="1"/>
  <c r="Q72" i="1"/>
  <c r="Q71" i="1"/>
  <c r="Q70" i="1"/>
  <c r="Q69" i="1"/>
  <c r="Q68" i="1"/>
  <c r="Q63" i="1"/>
  <c r="Q62" i="1"/>
  <c r="Q61" i="1"/>
  <c r="Q60" i="1"/>
  <c r="Q59" i="1"/>
  <c r="S80" i="1"/>
  <c r="S79" i="1"/>
  <c r="S78" i="1"/>
  <c r="S77" i="1"/>
  <c r="S76" i="1"/>
  <c r="T52" i="1"/>
  <c r="T51" i="1"/>
  <c r="T50" i="1"/>
  <c r="T49" i="1"/>
  <c r="T48" i="1"/>
  <c r="S44" i="1"/>
  <c r="S43" i="1"/>
  <c r="S42" i="1"/>
  <c r="S41" i="1"/>
  <c r="S40" i="1"/>
  <c r="S36" i="1"/>
  <c r="S35" i="1"/>
  <c r="S34" i="1"/>
  <c r="S33" i="1"/>
  <c r="S32" i="1"/>
  <c r="S25" i="1"/>
  <c r="R25" i="1"/>
  <c r="R24" i="1"/>
  <c r="R23" i="1"/>
  <c r="R22" i="1"/>
  <c r="R21" i="1"/>
  <c r="U17" i="1"/>
  <c r="T16" i="1"/>
  <c r="T15" i="1"/>
  <c r="T14" i="1"/>
  <c r="T13" i="1"/>
  <c r="S8" i="1"/>
  <c r="S7" i="1"/>
  <c r="S6" i="1"/>
  <c r="S5" i="1"/>
  <c r="S4" i="1"/>
  <c r="S24" i="1"/>
  <c r="S23" i="1"/>
  <c r="S22" i="1"/>
  <c r="S21" i="1"/>
  <c r="T8" i="1"/>
  <c r="U14" i="1"/>
  <c r="U13" i="1"/>
  <c r="T7" i="1"/>
  <c r="T6" i="1"/>
  <c r="T5" i="1"/>
  <c r="T4" i="1"/>
  <c r="V17" i="1"/>
  <c r="U15" i="1"/>
  <c r="U16" i="1"/>
</calcChain>
</file>

<file path=xl/sharedStrings.xml><?xml version="1.0" encoding="utf-8"?>
<sst xmlns="http://schemas.openxmlformats.org/spreadsheetml/2006/main" count="313" uniqueCount="176">
  <si>
    <t>Emp ID</t>
  </si>
  <si>
    <t>Employee Name</t>
  </si>
  <si>
    <t>Department</t>
  </si>
  <si>
    <t>City</t>
  </si>
  <si>
    <t>Experience</t>
  </si>
  <si>
    <t>Salary</t>
  </si>
  <si>
    <t>Bonus</t>
  </si>
  <si>
    <t>Rating</t>
  </si>
  <si>
    <t>Sales Amount</t>
  </si>
  <si>
    <t>E001</t>
  </si>
  <si>
    <t>Employee_1</t>
  </si>
  <si>
    <t>Marketing</t>
  </si>
  <si>
    <t>Mumbai</t>
  </si>
  <si>
    <t>B</t>
  </si>
  <si>
    <t>E002</t>
  </si>
  <si>
    <t>Employee_2</t>
  </si>
  <si>
    <t>Finance</t>
  </si>
  <si>
    <t>Hyderabad</t>
  </si>
  <si>
    <t>A</t>
  </si>
  <si>
    <t>E003</t>
  </si>
  <si>
    <t>Employee_3</t>
  </si>
  <si>
    <t>Sales</t>
  </si>
  <si>
    <t>Delhi</t>
  </si>
  <si>
    <t>E004</t>
  </si>
  <si>
    <t>Employee_4</t>
  </si>
  <si>
    <t>IT</t>
  </si>
  <si>
    <t>Bangalore</t>
  </si>
  <si>
    <t>E005</t>
  </si>
  <si>
    <t>Employee_5</t>
  </si>
  <si>
    <t>HR</t>
  </si>
  <si>
    <t>Chennai</t>
  </si>
  <si>
    <t>E006</t>
  </si>
  <si>
    <t>Employee_6</t>
  </si>
  <si>
    <t>E007</t>
  </si>
  <si>
    <t>Employee_7</t>
  </si>
  <si>
    <t>E008</t>
  </si>
  <si>
    <t>Employee_8</t>
  </si>
  <si>
    <t>C</t>
  </si>
  <si>
    <t>E009</t>
  </si>
  <si>
    <t>Employee_9</t>
  </si>
  <si>
    <t>E010</t>
  </si>
  <si>
    <t>Employee_10</t>
  </si>
  <si>
    <t>E011</t>
  </si>
  <si>
    <t>Employee_11</t>
  </si>
  <si>
    <t>E012</t>
  </si>
  <si>
    <t>Employee_12</t>
  </si>
  <si>
    <t>E013</t>
  </si>
  <si>
    <t>Employee_13</t>
  </si>
  <si>
    <t>E014</t>
  </si>
  <si>
    <t>Employee_14</t>
  </si>
  <si>
    <t>E015</t>
  </si>
  <si>
    <t>Employee_15</t>
  </si>
  <si>
    <t>E016</t>
  </si>
  <si>
    <t>Employee_16</t>
  </si>
  <si>
    <t>E017</t>
  </si>
  <si>
    <t>Employee_17</t>
  </si>
  <si>
    <t>E018</t>
  </si>
  <si>
    <t>Employee_18</t>
  </si>
  <si>
    <t>E019</t>
  </si>
  <si>
    <t>Employee_19</t>
  </si>
  <si>
    <t>E020</t>
  </si>
  <si>
    <t>Employee_20</t>
  </si>
  <si>
    <t>E021</t>
  </si>
  <si>
    <t>Employee_21</t>
  </si>
  <si>
    <t>E022</t>
  </si>
  <si>
    <t>Employee_22</t>
  </si>
  <si>
    <t>E023</t>
  </si>
  <si>
    <t>Employee_23</t>
  </si>
  <si>
    <t>E024</t>
  </si>
  <si>
    <t>Employee_24</t>
  </si>
  <si>
    <t>E025</t>
  </si>
  <si>
    <t>Employee_25</t>
  </si>
  <si>
    <t>E026</t>
  </si>
  <si>
    <t>Employee_26</t>
  </si>
  <si>
    <t>E027</t>
  </si>
  <si>
    <t>Employee_27</t>
  </si>
  <si>
    <t>E028</t>
  </si>
  <si>
    <t>Employee_28</t>
  </si>
  <si>
    <t>E029</t>
  </si>
  <si>
    <t>Employee_29</t>
  </si>
  <si>
    <t>E030</t>
  </si>
  <si>
    <t>Employee_30</t>
  </si>
  <si>
    <t>E031</t>
  </si>
  <si>
    <t>Employee_31</t>
  </si>
  <si>
    <t>E032</t>
  </si>
  <si>
    <t>Employee_32</t>
  </si>
  <si>
    <t>E033</t>
  </si>
  <si>
    <t>Employee_33</t>
  </si>
  <si>
    <t>E034</t>
  </si>
  <si>
    <t>Employee_34</t>
  </si>
  <si>
    <t>E035</t>
  </si>
  <si>
    <t>Employee_35</t>
  </si>
  <si>
    <t>E036</t>
  </si>
  <si>
    <t>Employee_36</t>
  </si>
  <si>
    <t>E037</t>
  </si>
  <si>
    <t>Employee_37</t>
  </si>
  <si>
    <t>E038</t>
  </si>
  <si>
    <t>Employee_38</t>
  </si>
  <si>
    <t>E039</t>
  </si>
  <si>
    <t>Employee_39</t>
  </si>
  <si>
    <t>E040</t>
  </si>
  <si>
    <t>Employee_40</t>
  </si>
  <si>
    <t>E041</t>
  </si>
  <si>
    <t>Employee_41</t>
  </si>
  <si>
    <t>E042</t>
  </si>
  <si>
    <t>Employee_42</t>
  </si>
  <si>
    <t>E043</t>
  </si>
  <si>
    <t>Employee_43</t>
  </si>
  <si>
    <t>E044</t>
  </si>
  <si>
    <t>Employee_44</t>
  </si>
  <si>
    <t>E045</t>
  </si>
  <si>
    <t>Employee_45</t>
  </si>
  <si>
    <t>E046</t>
  </si>
  <si>
    <t>Employee_46</t>
  </si>
  <si>
    <t>E047</t>
  </si>
  <si>
    <t>Employee_47</t>
  </si>
  <si>
    <t>E048</t>
  </si>
  <si>
    <t>Employee_48</t>
  </si>
  <si>
    <t>E049</t>
  </si>
  <si>
    <t>Employee_49</t>
  </si>
  <si>
    <t>E050</t>
  </si>
  <si>
    <t>Employee_50</t>
  </si>
  <si>
    <t>1. Find the total Salary of employees working in the Sales department.</t>
  </si>
  <si>
    <t>2. Find the total Bonus for employees from Hyderabad.</t>
  </si>
  <si>
    <t>3. Find the total Sales Amount for employees with Rating A.</t>
  </si>
  <si>
    <t>4. Find the total Salary for employees having Experience greater than 5 years.</t>
  </si>
  <si>
    <t>5. Find the total Bonus for employees in the IT department.</t>
  </si>
  <si>
    <t>SUMIF (5 Questions)</t>
  </si>
  <si>
    <t>SUMIFS (5 Questions)</t>
  </si>
  <si>
    <t>1. Find the total Salary for employees in Sales department and Hyderabad city.</t>
  </si>
  <si>
    <t>2. Find the total Sales Amount for employees with Rating A and Experience greater than 3 years.</t>
  </si>
  <si>
    <t>3. Find the total Bonus for employees in Finance department with Salary above 50000.</t>
  </si>
  <si>
    <t>4. Find the total Salary for employees in Bangalore with Rating B.</t>
  </si>
  <si>
    <t>5. Find the total Sales Amount for employees in Marketing department and Experience less than 6 years.</t>
  </si>
  <si>
    <t>COUNTIF (5 Questions)</t>
  </si>
  <si>
    <t>1. Count how many employees are in the HR department.</t>
  </si>
  <si>
    <t>2. Count employees having Rating A.</t>
  </si>
  <si>
    <t>3. Count employees with Salary greater than 60000.</t>
  </si>
  <si>
    <t>4. Count employees from Chennai.</t>
  </si>
  <si>
    <t>5. Count employees having Experience less than 4 years.</t>
  </si>
  <si>
    <t>COUNTIFS (5 Questions)</t>
  </si>
  <si>
    <t>1. Count employees in IT department with Rating A.</t>
  </si>
  <si>
    <t>2. Count employees from Hyderabad having Salary above 50000.</t>
  </si>
  <si>
    <t>3. Count employees with Experience greater than 5 years and Rating B.</t>
  </si>
  <si>
    <t>4. Count employees in Sales department from Mumbai.</t>
  </si>
  <si>
    <t>5. Count employees in Finance department with Bonus above 7000.</t>
  </si>
  <si>
    <t>AVERAGE (5 Questions)</t>
  </si>
  <si>
    <t>1. Find the average Salary of all employees.</t>
  </si>
  <si>
    <t>2. Find the average Bonus.</t>
  </si>
  <si>
    <t>3. Find the average Sales Amount.</t>
  </si>
  <si>
    <t>4. Find the average Experience of employees.</t>
  </si>
  <si>
    <t>5. Find the average Salary of the first 20 employees.</t>
  </si>
  <si>
    <t>AVERAGEIFS (5 Questions)</t>
  </si>
  <si>
    <t>1. Find the average Salary of employees in Sales department.</t>
  </si>
  <si>
    <t>2. Find the average Bonus for employees with Rating A.</t>
  </si>
  <si>
    <t>3. Find the average Sales Amount for employees from Bangalore.</t>
  </si>
  <si>
    <t>4. Find the average Salary for employees with Experience greater than 5 years.</t>
  </si>
  <si>
    <t>5. Find the average Bonus for employees in HR department and Rating B.</t>
  </si>
  <si>
    <t>LARGE (5 Questions)</t>
  </si>
  <si>
    <t>1. Find the 1st largest Salary.</t>
  </si>
  <si>
    <t>2. Find the 2nd largest Bonus.</t>
  </si>
  <si>
    <t>3. Find the 3rd largest Sales Amount.</t>
  </si>
  <si>
    <t>4. Find the 5th largest Salary.</t>
  </si>
  <si>
    <t>5. Find the 4th largest Bonus.</t>
  </si>
  <si>
    <t>SMALL (5 Questions)</t>
  </si>
  <si>
    <t>1. Find the 1st smallest Salary.</t>
  </si>
  <si>
    <t>2. Find the 2nd smallest Bonus.</t>
  </si>
  <si>
    <t>3. Find the 3rd smallest Sales Amount.</t>
  </si>
  <si>
    <t>4. Find the 5th smallest Salary.</t>
  </si>
  <si>
    <t>5. Find the 4th smallest Bonus.</t>
  </si>
  <si>
    <t>RANK (5 Questions)</t>
  </si>
  <si>
    <t>1. Rank employees based on Salary in descending order.</t>
  </si>
  <si>
    <t>2. Rank employees based on Bonus.</t>
  </si>
  <si>
    <t>3. Rank employees based on Sales Amount.</t>
  </si>
  <si>
    <t>4. Find the rank of the employee with the highest Salary.</t>
  </si>
  <si>
    <t>5. Find the rank of employees based on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</si>
</sst>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3.9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A"/>
        <bgColor indexed="64"/>
      </patternFill>
    </fill>
    <fill>
      <patternFill patternType="solid">
        <fgColor rgb="FFF4F4D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7E40-CF71-40A8-BD8A-D63FD452598C}">
  <dimension ref="A1:V80"/>
  <sheetViews>
    <sheetView tabSelected="1" topLeftCell="J1" zoomScale="62" workbookViewId="0">
      <selection activeCell="Q73" sqref="Q73"/>
    </sheetView>
  </sheetViews>
  <sheetFormatPr defaultRowHeight="14.5" x14ac:dyDescent="0.35"/>
  <sheetData>
    <row r="1" spans="1:21" ht="2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21" ht="20.5" thickBot="1" x14ac:dyDescent="0.4">
      <c r="A2" s="3" t="s">
        <v>9</v>
      </c>
      <c r="B2" s="3" t="s">
        <v>10</v>
      </c>
      <c r="C2" s="3" t="s">
        <v>11</v>
      </c>
      <c r="D2" s="3" t="s">
        <v>12</v>
      </c>
      <c r="E2" s="3">
        <v>3</v>
      </c>
      <c r="F2" s="4">
        <v>71363</v>
      </c>
      <c r="G2" s="3">
        <v>14447</v>
      </c>
      <c r="H2" s="3" t="s">
        <v>13</v>
      </c>
      <c r="I2" s="3">
        <v>125950</v>
      </c>
    </row>
    <row r="3" spans="1:21" ht="20.5" thickBot="1" x14ac:dyDescent="0.4">
      <c r="A3" s="3" t="s">
        <v>14</v>
      </c>
      <c r="B3" s="3" t="s">
        <v>15</v>
      </c>
      <c r="C3" s="3" t="s">
        <v>16</v>
      </c>
      <c r="D3" s="3" t="s">
        <v>17</v>
      </c>
      <c r="E3" s="3">
        <v>8</v>
      </c>
      <c r="F3" s="4">
        <v>42638</v>
      </c>
      <c r="G3" s="3">
        <v>3540</v>
      </c>
      <c r="H3" s="3" t="s">
        <v>18</v>
      </c>
      <c r="I3" s="3">
        <v>121526</v>
      </c>
      <c r="K3" s="6" t="s">
        <v>127</v>
      </c>
    </row>
    <row r="4" spans="1:21" ht="20.5" thickBot="1" x14ac:dyDescent="0.4">
      <c r="A4" s="3" t="s">
        <v>19</v>
      </c>
      <c r="B4" s="3" t="s">
        <v>20</v>
      </c>
      <c r="C4" s="3" t="s">
        <v>21</v>
      </c>
      <c r="D4" s="3" t="s">
        <v>22</v>
      </c>
      <c r="E4" s="3">
        <v>1</v>
      </c>
      <c r="F4" s="4">
        <v>45493</v>
      </c>
      <c r="G4" s="3">
        <v>6333</v>
      </c>
      <c r="H4" s="3" t="s">
        <v>18</v>
      </c>
      <c r="I4" s="3">
        <v>14343</v>
      </c>
      <c r="K4" s="5" t="s">
        <v>122</v>
      </c>
      <c r="S4">
        <f>SUMIF(C2:C52,C4,F2:F52)</f>
        <v>783259</v>
      </c>
      <c r="T4" t="str">
        <f ca="1">_xlfn.FORMULATEXT(S4)</f>
        <v>=SUMIF(C2:C52,C4,F2:F52)</v>
      </c>
    </row>
    <row r="5" spans="1:21" ht="20.5" thickBot="1" x14ac:dyDescent="0.4">
      <c r="A5" s="3" t="s">
        <v>23</v>
      </c>
      <c r="B5" s="3" t="s">
        <v>24</v>
      </c>
      <c r="C5" s="3" t="s">
        <v>25</v>
      </c>
      <c r="D5" s="3" t="s">
        <v>26</v>
      </c>
      <c r="E5" s="3">
        <v>8</v>
      </c>
      <c r="F5" s="4">
        <v>58233</v>
      </c>
      <c r="G5" s="3">
        <v>3858</v>
      </c>
      <c r="H5" s="3" t="s">
        <v>18</v>
      </c>
      <c r="I5" s="3">
        <v>12843</v>
      </c>
      <c r="K5" s="5" t="s">
        <v>123</v>
      </c>
      <c r="S5">
        <f>SUMIF(D2:D52,D3,G2:G52)</f>
        <v>82220</v>
      </c>
      <c r="T5" t="str">
        <f ca="1">_xlfn.FORMULATEXT(S5)</f>
        <v>=SUMIF(D2:D52,D3,G2:G52)</v>
      </c>
    </row>
    <row r="6" spans="1:21" ht="20.5" thickBot="1" x14ac:dyDescent="0.4">
      <c r="A6" s="3" t="s">
        <v>27</v>
      </c>
      <c r="B6" s="3" t="s">
        <v>28</v>
      </c>
      <c r="C6" s="3" t="s">
        <v>29</v>
      </c>
      <c r="D6" s="3" t="s">
        <v>30</v>
      </c>
      <c r="E6" s="3">
        <v>7</v>
      </c>
      <c r="F6" s="4">
        <v>86826</v>
      </c>
      <c r="G6" s="3">
        <v>2372</v>
      </c>
      <c r="H6" s="3" t="s">
        <v>13</v>
      </c>
      <c r="I6" s="3">
        <v>68021</v>
      </c>
      <c r="K6" s="5" t="s">
        <v>124</v>
      </c>
      <c r="S6">
        <f>SUMIF(H2:H52,H3,I2:I52)</f>
        <v>1385509</v>
      </c>
      <c r="T6" t="str">
        <f ca="1">_xlfn.FORMULATEXT(S6)</f>
        <v>=SUMIF(H2:H52,H3,I2:I52)</v>
      </c>
    </row>
    <row r="7" spans="1:21" ht="20.5" thickBot="1" x14ac:dyDescent="0.4">
      <c r="A7" s="3" t="s">
        <v>31</v>
      </c>
      <c r="B7" s="3" t="s">
        <v>32</v>
      </c>
      <c r="C7" s="3" t="s">
        <v>11</v>
      </c>
      <c r="D7" s="3" t="s">
        <v>30</v>
      </c>
      <c r="E7" s="3">
        <v>4</v>
      </c>
      <c r="F7" s="4">
        <v>42818</v>
      </c>
      <c r="G7" s="3">
        <v>5908</v>
      </c>
      <c r="H7" s="3" t="s">
        <v>13</v>
      </c>
      <c r="I7" s="3">
        <v>140625</v>
      </c>
      <c r="K7" s="5" t="s">
        <v>125</v>
      </c>
      <c r="S7">
        <f>SUMIF(E2:E52,"&gt;"&amp;E12,F2:F52)</f>
        <v>1408015</v>
      </c>
      <c r="T7" t="str">
        <f ca="1">_xlfn.FORMULATEXT(S7)</f>
        <v>=SUMIF(E2:E52,"&gt;"&amp;E12,F2:F52)</v>
      </c>
    </row>
    <row r="8" spans="1:21" ht="20.5" thickBot="1" x14ac:dyDescent="0.4">
      <c r="A8" s="3" t="s">
        <v>33</v>
      </c>
      <c r="B8" s="3" t="s">
        <v>34</v>
      </c>
      <c r="C8" s="3" t="s">
        <v>21</v>
      </c>
      <c r="D8" s="3" t="s">
        <v>30</v>
      </c>
      <c r="E8" s="3">
        <v>3</v>
      </c>
      <c r="F8" s="4">
        <v>39392</v>
      </c>
      <c r="G8" s="3">
        <v>12012</v>
      </c>
      <c r="H8" s="3" t="s">
        <v>13</v>
      </c>
      <c r="I8" s="3">
        <v>63704</v>
      </c>
      <c r="K8" s="5" t="s">
        <v>126</v>
      </c>
      <c r="S8">
        <f>SUMIF(C2:C52,C5,G2:G52)</f>
        <v>71606</v>
      </c>
      <c r="T8" t="str">
        <f ca="1">_xlfn.FORMULATEXT(S8)</f>
        <v>=SUMIF(C2:C52,C5,G2:G52)</v>
      </c>
    </row>
    <row r="9" spans="1:21" ht="20.5" thickBot="1" x14ac:dyDescent="0.4">
      <c r="A9" s="3" t="s">
        <v>35</v>
      </c>
      <c r="B9" s="3" t="s">
        <v>36</v>
      </c>
      <c r="C9" s="3" t="s">
        <v>21</v>
      </c>
      <c r="D9" s="3" t="s">
        <v>12</v>
      </c>
      <c r="E9" s="3">
        <v>4</v>
      </c>
      <c r="F9" s="4">
        <v>26938</v>
      </c>
      <c r="G9" s="3">
        <v>5129</v>
      </c>
      <c r="H9" s="3" t="s">
        <v>37</v>
      </c>
      <c r="I9" s="3">
        <v>100550</v>
      </c>
    </row>
    <row r="10" spans="1:21" ht="20.5" thickBot="1" x14ac:dyDescent="0.4">
      <c r="A10" s="3" t="s">
        <v>38</v>
      </c>
      <c r="B10" s="3" t="s">
        <v>39</v>
      </c>
      <c r="C10" s="3" t="s">
        <v>11</v>
      </c>
      <c r="D10" s="3" t="s">
        <v>30</v>
      </c>
      <c r="E10" s="3">
        <v>3</v>
      </c>
      <c r="F10" s="4">
        <v>77240</v>
      </c>
      <c r="G10" s="3">
        <v>12237</v>
      </c>
      <c r="H10" s="3" t="s">
        <v>37</v>
      </c>
      <c r="I10" s="3">
        <v>57540</v>
      </c>
    </row>
    <row r="11" spans="1:21" ht="20.5" thickBot="1" x14ac:dyDescent="0.4">
      <c r="A11" s="3" t="s">
        <v>40</v>
      </c>
      <c r="B11" s="3" t="s">
        <v>41</v>
      </c>
      <c r="C11" s="3" t="s">
        <v>21</v>
      </c>
      <c r="D11" s="3" t="s">
        <v>12</v>
      </c>
      <c r="E11" s="3">
        <v>1</v>
      </c>
      <c r="F11" s="4">
        <v>55162</v>
      </c>
      <c r="G11" s="3">
        <v>10790</v>
      </c>
      <c r="H11" s="3" t="s">
        <v>13</v>
      </c>
      <c r="I11" s="3">
        <v>191237</v>
      </c>
    </row>
    <row r="12" spans="1:21" ht="20.5" thickBot="1" x14ac:dyDescent="0.4">
      <c r="A12" s="3" t="s">
        <v>42</v>
      </c>
      <c r="B12" s="3" t="s">
        <v>43</v>
      </c>
      <c r="C12" s="3" t="s">
        <v>29</v>
      </c>
      <c r="D12" s="3" t="s">
        <v>30</v>
      </c>
      <c r="E12" s="3">
        <v>5</v>
      </c>
      <c r="F12" s="4">
        <v>66764</v>
      </c>
      <c r="G12" s="3">
        <v>3995</v>
      </c>
      <c r="H12" s="3" t="s">
        <v>18</v>
      </c>
      <c r="I12" s="3">
        <v>170198</v>
      </c>
      <c r="K12" s="6" t="s">
        <v>128</v>
      </c>
    </row>
    <row r="13" spans="1:21" ht="20.5" thickBot="1" x14ac:dyDescent="0.4">
      <c r="A13" s="3" t="s">
        <v>44</v>
      </c>
      <c r="B13" s="3" t="s">
        <v>45</v>
      </c>
      <c r="C13" s="3" t="s">
        <v>25</v>
      </c>
      <c r="D13" s="3" t="s">
        <v>12</v>
      </c>
      <c r="E13" s="3">
        <v>10</v>
      </c>
      <c r="F13" s="4">
        <v>81356</v>
      </c>
      <c r="G13" s="3">
        <v>9717</v>
      </c>
      <c r="H13" s="3" t="s">
        <v>13</v>
      </c>
      <c r="I13" s="3">
        <v>168710</v>
      </c>
      <c r="K13" s="5" t="s">
        <v>129</v>
      </c>
      <c r="T13">
        <f>SUMIFS(F2:F52,D2:D52,D3,C2:C52,C4)</f>
        <v>40131</v>
      </c>
      <c r="U13" t="str">
        <f ca="1">_xlfn.FORMULATEXT(T13)</f>
        <v>=SUMIFS(F2:F52,D2:D52,D3,C2:C52,C4)</v>
      </c>
    </row>
    <row r="14" spans="1:21" ht="20.5" thickBot="1" x14ac:dyDescent="0.4">
      <c r="A14" s="3" t="s">
        <v>46</v>
      </c>
      <c r="B14" s="3" t="s">
        <v>47</v>
      </c>
      <c r="C14" s="3" t="s">
        <v>29</v>
      </c>
      <c r="D14" s="3" t="s">
        <v>26</v>
      </c>
      <c r="E14" s="3">
        <v>5</v>
      </c>
      <c r="F14" s="4">
        <v>65414</v>
      </c>
      <c r="G14" s="3">
        <v>14278</v>
      </c>
      <c r="H14" s="3" t="s">
        <v>13</v>
      </c>
      <c r="I14" s="3">
        <v>179342</v>
      </c>
      <c r="K14" s="5" t="s">
        <v>130</v>
      </c>
      <c r="T14">
        <f>SUMIFS(I2:I52,H2:H52,H3,E2:E52,"&gt;"&amp;E2)</f>
        <v>1266482</v>
      </c>
      <c r="U14" t="str">
        <f ca="1">_xlfn.FORMULATEXT(T14)</f>
        <v>=SUMIFS(I2:I52,H2:H52,H3,E2:E52,"&gt;"&amp;E2)</v>
      </c>
    </row>
    <row r="15" spans="1:21" ht="20.5" thickBot="1" x14ac:dyDescent="0.4">
      <c r="A15" s="3" t="s">
        <v>48</v>
      </c>
      <c r="B15" s="3" t="s">
        <v>49</v>
      </c>
      <c r="C15" s="3" t="s">
        <v>29</v>
      </c>
      <c r="D15" s="3" t="s">
        <v>22</v>
      </c>
      <c r="E15" s="3">
        <v>10</v>
      </c>
      <c r="F15" s="4">
        <v>66463</v>
      </c>
      <c r="G15" s="3">
        <v>6176</v>
      </c>
      <c r="H15" s="3" t="s">
        <v>37</v>
      </c>
      <c r="I15" s="3">
        <v>88908</v>
      </c>
      <c r="K15" s="5" t="s">
        <v>131</v>
      </c>
      <c r="T15">
        <f>SUMIFS(G2:G52,C2:C52,C20,F2:F52,"&gt;"&amp;F21)</f>
        <v>31317</v>
      </c>
      <c r="U15" t="str">
        <f ca="1">_xlfn.FORMULATEXT(T15)</f>
        <v>=SUMIFS(G2:G52,C2:C52,C20,F2:F52,"&gt;"&amp;F21)</v>
      </c>
    </row>
    <row r="16" spans="1:21" ht="20.5" thickBot="1" x14ac:dyDescent="0.4">
      <c r="A16" s="3" t="s">
        <v>50</v>
      </c>
      <c r="B16" s="3" t="s">
        <v>51</v>
      </c>
      <c r="C16" s="3" t="s">
        <v>21</v>
      </c>
      <c r="D16" s="3" t="s">
        <v>17</v>
      </c>
      <c r="E16" s="3">
        <v>10</v>
      </c>
      <c r="F16" s="4">
        <v>40131</v>
      </c>
      <c r="G16" s="3">
        <v>5879</v>
      </c>
      <c r="H16" s="3" t="s">
        <v>18</v>
      </c>
      <c r="I16" s="3">
        <v>48869</v>
      </c>
      <c r="K16" s="5" t="s">
        <v>132</v>
      </c>
      <c r="T16">
        <f>SUMIFS(F2:F52,D2:D52,D5,H2:H52,H2)</f>
        <v>115457</v>
      </c>
      <c r="U16" t="str">
        <f ca="1">_xlfn.FORMULATEXT(T16)</f>
        <v>=SUMIFS(F2:F52,D2:D52,D5,H2:H52,H2)</v>
      </c>
    </row>
    <row r="17" spans="1:22" ht="20.5" thickBot="1" x14ac:dyDescent="0.4">
      <c r="A17" s="3" t="s">
        <v>52</v>
      </c>
      <c r="B17" s="3" t="s">
        <v>53</v>
      </c>
      <c r="C17" s="3" t="s">
        <v>11</v>
      </c>
      <c r="D17" s="3" t="s">
        <v>22</v>
      </c>
      <c r="E17" s="3">
        <v>8</v>
      </c>
      <c r="F17" s="4">
        <v>41942</v>
      </c>
      <c r="G17" s="3">
        <v>7820</v>
      </c>
      <c r="H17" s="3" t="s">
        <v>37</v>
      </c>
      <c r="I17" s="3">
        <v>148497</v>
      </c>
      <c r="K17" s="5" t="s">
        <v>133</v>
      </c>
      <c r="U17">
        <f>SUMIFS(I2:I52,C2:C52,C2,E2:E52,"&lt;"&amp;E20)</f>
        <v>636124</v>
      </c>
      <c r="V17" t="str">
        <f ca="1">_xlfn.FORMULATEXT(U17)</f>
        <v>=SUMIFS(I2:I52,C2:C52,C2,E2:E52,"&lt;"&amp;E20)</v>
      </c>
    </row>
    <row r="18" spans="1:22" ht="20.5" thickBot="1" x14ac:dyDescent="0.4">
      <c r="A18" s="3" t="s">
        <v>54</v>
      </c>
      <c r="B18" s="3" t="s">
        <v>55</v>
      </c>
      <c r="C18" s="3" t="s">
        <v>25</v>
      </c>
      <c r="D18" s="3" t="s">
        <v>12</v>
      </c>
      <c r="E18" s="3">
        <v>8</v>
      </c>
      <c r="F18" s="4">
        <v>58258</v>
      </c>
      <c r="G18" s="3">
        <v>11600</v>
      </c>
      <c r="H18" s="3" t="s">
        <v>37</v>
      </c>
      <c r="I18" s="3">
        <v>152911</v>
      </c>
    </row>
    <row r="19" spans="1:22" ht="20.5" thickBot="1" x14ac:dyDescent="0.4">
      <c r="A19" s="3" t="s">
        <v>56</v>
      </c>
      <c r="B19" s="3" t="s">
        <v>57</v>
      </c>
      <c r="C19" s="3" t="s">
        <v>29</v>
      </c>
      <c r="D19" s="3" t="s">
        <v>30</v>
      </c>
      <c r="E19" s="3">
        <v>2</v>
      </c>
      <c r="F19" s="4">
        <v>66365</v>
      </c>
      <c r="G19" s="3">
        <v>6146</v>
      </c>
      <c r="H19" s="3" t="s">
        <v>37</v>
      </c>
      <c r="I19" s="3">
        <v>90046</v>
      </c>
    </row>
    <row r="20" spans="1:22" ht="20.5" thickBot="1" x14ac:dyDescent="0.4">
      <c r="A20" s="3" t="s">
        <v>58</v>
      </c>
      <c r="B20" s="3" t="s">
        <v>59</v>
      </c>
      <c r="C20" s="3" t="s">
        <v>16</v>
      </c>
      <c r="D20" s="3" t="s">
        <v>30</v>
      </c>
      <c r="E20" s="3">
        <v>6</v>
      </c>
      <c r="F20" s="4">
        <v>42623</v>
      </c>
      <c r="G20" s="3">
        <v>5986</v>
      </c>
      <c r="H20" s="3" t="s">
        <v>18</v>
      </c>
      <c r="I20" s="3">
        <v>70852</v>
      </c>
      <c r="K20" s="6" t="s">
        <v>134</v>
      </c>
    </row>
    <row r="21" spans="1:22" ht="20.5" thickBot="1" x14ac:dyDescent="0.4">
      <c r="A21" s="3" t="s">
        <v>60</v>
      </c>
      <c r="B21" s="3" t="s">
        <v>61</v>
      </c>
      <c r="C21" s="3" t="s">
        <v>25</v>
      </c>
      <c r="D21" s="3" t="s">
        <v>26</v>
      </c>
      <c r="E21" s="3">
        <v>5</v>
      </c>
      <c r="F21" s="4">
        <v>50037</v>
      </c>
      <c r="G21" s="3">
        <v>14276</v>
      </c>
      <c r="H21" s="3" t="s">
        <v>18</v>
      </c>
      <c r="I21" s="3">
        <v>195968</v>
      </c>
      <c r="K21" s="5" t="s">
        <v>135</v>
      </c>
      <c r="R21">
        <f>COUNTIF(C2:C52,C6)</f>
        <v>9</v>
      </c>
      <c r="S21" t="str">
        <f ca="1">_xlfn.FORMULATEXT(R21)</f>
        <v>=COUNTIF(C2:C52,C6)</v>
      </c>
    </row>
    <row r="22" spans="1:22" ht="20.5" thickBot="1" x14ac:dyDescent="0.4">
      <c r="A22" s="3" t="s">
        <v>62</v>
      </c>
      <c r="B22" s="3" t="s">
        <v>63</v>
      </c>
      <c r="C22" s="3" t="s">
        <v>29</v>
      </c>
      <c r="D22" s="3" t="s">
        <v>30</v>
      </c>
      <c r="E22" s="3">
        <v>8</v>
      </c>
      <c r="F22" s="4">
        <v>63788</v>
      </c>
      <c r="G22" s="3">
        <v>6132</v>
      </c>
      <c r="H22" s="3" t="s">
        <v>18</v>
      </c>
      <c r="I22" s="3">
        <v>148329</v>
      </c>
      <c r="K22" s="5" t="s">
        <v>136</v>
      </c>
      <c r="R22">
        <f>COUNTIF(H2:H52,H16)</f>
        <v>14</v>
      </c>
      <c r="S22" t="str">
        <f ca="1">_xlfn.FORMULATEXT(R22)</f>
        <v>=COUNTIF(H2:H52,H16)</v>
      </c>
    </row>
    <row r="23" spans="1:22" ht="20.5" thickBot="1" x14ac:dyDescent="0.4">
      <c r="A23" s="3" t="s">
        <v>64</v>
      </c>
      <c r="B23" s="3" t="s">
        <v>65</v>
      </c>
      <c r="C23" s="3" t="s">
        <v>16</v>
      </c>
      <c r="D23" s="3" t="s">
        <v>17</v>
      </c>
      <c r="E23" s="3">
        <v>9</v>
      </c>
      <c r="F23" s="4">
        <v>50204</v>
      </c>
      <c r="G23" s="3">
        <v>11297</v>
      </c>
      <c r="H23" s="3" t="s">
        <v>13</v>
      </c>
      <c r="I23" s="3">
        <v>136996</v>
      </c>
      <c r="K23" s="5" t="s">
        <v>137</v>
      </c>
      <c r="R23">
        <f>COUNTIF(F2:F52,"&gt;"&amp;F42)</f>
        <v>20</v>
      </c>
      <c r="S23" t="str">
        <f ca="1">_xlfn.FORMULATEXT(R23)</f>
        <v>=COUNTIF(F2:F52,"&gt;"&amp;F42)</v>
      </c>
    </row>
    <row r="24" spans="1:22" ht="20.5" thickBot="1" x14ac:dyDescent="0.4">
      <c r="A24" s="3" t="s">
        <v>66</v>
      </c>
      <c r="B24" s="3" t="s">
        <v>67</v>
      </c>
      <c r="C24" s="3" t="s">
        <v>21</v>
      </c>
      <c r="D24" s="3" t="s">
        <v>30</v>
      </c>
      <c r="E24" s="3">
        <v>4</v>
      </c>
      <c r="F24" s="4">
        <v>74007</v>
      </c>
      <c r="G24" s="3">
        <v>12734</v>
      </c>
      <c r="H24" s="3" t="s">
        <v>37</v>
      </c>
      <c r="I24" s="3">
        <v>115954</v>
      </c>
      <c r="K24" s="5" t="s">
        <v>138</v>
      </c>
      <c r="R24">
        <f>COUNTIF(D2:D52,D12)</f>
        <v>15</v>
      </c>
      <c r="S24" t="str">
        <f ca="1">_xlfn.FORMULATEXT(R24)</f>
        <v>=COUNTIF(D2:D52,D12)</v>
      </c>
    </row>
    <row r="25" spans="1:22" ht="20.5" thickBot="1" x14ac:dyDescent="0.4">
      <c r="A25" s="3" t="s">
        <v>68</v>
      </c>
      <c r="B25" s="3" t="s">
        <v>69</v>
      </c>
      <c r="C25" s="3" t="s">
        <v>21</v>
      </c>
      <c r="D25" s="3" t="s">
        <v>26</v>
      </c>
      <c r="E25" s="3">
        <v>5</v>
      </c>
      <c r="F25" s="4">
        <v>53086</v>
      </c>
      <c r="G25" s="3">
        <v>3520</v>
      </c>
      <c r="H25" s="3" t="s">
        <v>37</v>
      </c>
      <c r="I25" s="3">
        <v>186116</v>
      </c>
      <c r="K25" s="5" t="s">
        <v>139</v>
      </c>
      <c r="R25">
        <f>COUNTIF(E2:E52,"&lt;"&amp;E9)</f>
        <v>15</v>
      </c>
      <c r="S25" t="str">
        <f ca="1">_xlfn.FORMULATEXT(R25)</f>
        <v>=COUNTIF(E2:E52,"&lt;"&amp;E9)</v>
      </c>
    </row>
    <row r="26" spans="1:22" ht="20.5" thickBot="1" x14ac:dyDescent="0.4">
      <c r="A26" s="3" t="s">
        <v>70</v>
      </c>
      <c r="B26" s="3" t="s">
        <v>71</v>
      </c>
      <c r="C26" s="3" t="s">
        <v>16</v>
      </c>
      <c r="D26" s="3" t="s">
        <v>12</v>
      </c>
      <c r="E26" s="3">
        <v>4</v>
      </c>
      <c r="F26" s="4">
        <v>55759</v>
      </c>
      <c r="G26" s="3">
        <v>5587</v>
      </c>
      <c r="H26" s="3" t="s">
        <v>13</v>
      </c>
      <c r="I26" s="3">
        <v>132847</v>
      </c>
    </row>
    <row r="27" spans="1:22" ht="20.5" thickBot="1" x14ac:dyDescent="0.4">
      <c r="A27" s="3" t="s">
        <v>72</v>
      </c>
      <c r="B27" s="3" t="s">
        <v>73</v>
      </c>
      <c r="C27" s="3" t="s">
        <v>16</v>
      </c>
      <c r="D27" s="3" t="s">
        <v>17</v>
      </c>
      <c r="E27" s="3">
        <v>2</v>
      </c>
      <c r="F27" s="4">
        <v>32030</v>
      </c>
      <c r="G27" s="3">
        <v>11794</v>
      </c>
      <c r="H27" s="3" t="s">
        <v>13</v>
      </c>
      <c r="I27" s="3">
        <v>166522</v>
      </c>
    </row>
    <row r="28" spans="1:22" ht="15" thickBot="1" x14ac:dyDescent="0.4"/>
    <row r="29" spans="1:22" ht="20.5" thickBot="1" x14ac:dyDescent="0.4">
      <c r="A29" s="3" t="s">
        <v>74</v>
      </c>
      <c r="B29" s="3" t="s">
        <v>75</v>
      </c>
      <c r="C29" s="3" t="s">
        <v>21</v>
      </c>
      <c r="D29" s="3" t="s">
        <v>26</v>
      </c>
      <c r="E29" s="3">
        <v>2</v>
      </c>
      <c r="F29" s="4">
        <v>48744</v>
      </c>
      <c r="G29" s="3">
        <v>13580</v>
      </c>
      <c r="H29" s="3" t="s">
        <v>37</v>
      </c>
      <c r="I29" s="3">
        <v>175135</v>
      </c>
    </row>
    <row r="30" spans="1:22" ht="20.5" thickBot="1" x14ac:dyDescent="0.4">
      <c r="A30" s="3" t="s">
        <v>76</v>
      </c>
      <c r="B30" s="3" t="s">
        <v>77</v>
      </c>
      <c r="C30" s="3" t="s">
        <v>25</v>
      </c>
      <c r="D30" s="3" t="s">
        <v>17</v>
      </c>
      <c r="E30" s="3">
        <v>3</v>
      </c>
      <c r="F30" s="4">
        <v>41789</v>
      </c>
      <c r="G30" s="3">
        <v>2244</v>
      </c>
      <c r="H30" s="3" t="s">
        <v>18</v>
      </c>
      <c r="I30" s="3">
        <v>104684</v>
      </c>
    </row>
    <row r="31" spans="1:22" ht="20.5" thickBot="1" x14ac:dyDescent="0.4">
      <c r="A31" s="3" t="s">
        <v>78</v>
      </c>
      <c r="B31" s="3" t="s">
        <v>79</v>
      </c>
      <c r="C31" s="3" t="s">
        <v>16</v>
      </c>
      <c r="D31" s="3" t="s">
        <v>22</v>
      </c>
      <c r="E31" s="3">
        <v>6</v>
      </c>
      <c r="F31" s="4">
        <v>52879</v>
      </c>
      <c r="G31" s="3">
        <v>7897</v>
      </c>
      <c r="H31" s="3" t="s">
        <v>13</v>
      </c>
      <c r="I31" s="3">
        <v>134753</v>
      </c>
      <c r="K31" s="6" t="s">
        <v>140</v>
      </c>
    </row>
    <row r="32" spans="1:22" ht="20.5" thickBot="1" x14ac:dyDescent="0.4">
      <c r="A32" s="3" t="s">
        <v>80</v>
      </c>
      <c r="B32" s="3" t="s">
        <v>81</v>
      </c>
      <c r="C32" s="3" t="s">
        <v>29</v>
      </c>
      <c r="D32" s="3" t="s">
        <v>17</v>
      </c>
      <c r="E32" s="3">
        <v>10</v>
      </c>
      <c r="F32" s="4">
        <v>49883</v>
      </c>
      <c r="G32" s="3">
        <v>8379</v>
      </c>
      <c r="H32" s="3" t="s">
        <v>37</v>
      </c>
      <c r="I32" s="3">
        <v>173450</v>
      </c>
      <c r="K32" s="5" t="s">
        <v>141</v>
      </c>
      <c r="R32">
        <f>COUNTIFS(C2:C52,C5,H2:H52,H5)</f>
        <v>5</v>
      </c>
      <c r="S32" t="str">
        <f ca="1">_xlfn.FORMULATEXT(R32)</f>
        <v>=COUNTIFS(C2:C52,C5,H2:H52,H5)</v>
      </c>
    </row>
    <row r="33" spans="1:20" ht="20.5" thickBot="1" x14ac:dyDescent="0.4">
      <c r="A33" s="3" t="s">
        <v>82</v>
      </c>
      <c r="B33" s="3" t="s">
        <v>83</v>
      </c>
      <c r="C33" s="3" t="s">
        <v>21</v>
      </c>
      <c r="D33" s="3" t="s">
        <v>30</v>
      </c>
      <c r="E33" s="3">
        <v>1</v>
      </c>
      <c r="F33" s="4">
        <v>80300</v>
      </c>
      <c r="G33" s="3">
        <v>13170</v>
      </c>
      <c r="H33" s="3" t="s">
        <v>37</v>
      </c>
      <c r="I33" s="3">
        <v>146091</v>
      </c>
      <c r="K33" s="5" t="s">
        <v>142</v>
      </c>
      <c r="R33">
        <f>COUNTIFS(D2:D52,D3,F2:F52,"&gt;"&amp;F21)</f>
        <v>4</v>
      </c>
      <c r="S33" t="str">
        <f ca="1">_xlfn.FORMULATEXT(R33)</f>
        <v>=COUNTIFS(D2:D52,D3,F2:F52,"&gt;"&amp;F21)</v>
      </c>
    </row>
    <row r="34" spans="1:20" ht="20.5" thickBot="1" x14ac:dyDescent="0.4">
      <c r="A34" s="3" t="s">
        <v>84</v>
      </c>
      <c r="B34" s="3" t="s">
        <v>85</v>
      </c>
      <c r="C34" s="3" t="s">
        <v>11</v>
      </c>
      <c r="D34" s="3" t="s">
        <v>22</v>
      </c>
      <c r="E34" s="3">
        <v>4</v>
      </c>
      <c r="F34" s="4">
        <v>31254</v>
      </c>
      <c r="G34" s="3">
        <v>7350</v>
      </c>
      <c r="H34" s="3" t="s">
        <v>13</v>
      </c>
      <c r="I34" s="3">
        <v>83317</v>
      </c>
      <c r="K34" s="5" t="s">
        <v>143</v>
      </c>
      <c r="R34">
        <f>COUNTIFS(E2:E52,"&gt;"&amp;E21,H2:H52,H2)</f>
        <v>10</v>
      </c>
      <c r="S34" t="str">
        <f ca="1">_xlfn.FORMULATEXT(R34)</f>
        <v>=COUNTIFS(E2:E52,"&gt;"&amp;E21,H2:H52,H2)</v>
      </c>
    </row>
    <row r="35" spans="1:20" ht="20.5" thickBot="1" x14ac:dyDescent="0.4">
      <c r="A35" s="3" t="s">
        <v>86</v>
      </c>
      <c r="B35" s="3" t="s">
        <v>87</v>
      </c>
      <c r="C35" s="3" t="s">
        <v>25</v>
      </c>
      <c r="D35" s="3" t="s">
        <v>12</v>
      </c>
      <c r="E35" s="3">
        <v>5</v>
      </c>
      <c r="F35" s="4">
        <v>85785</v>
      </c>
      <c r="G35" s="3">
        <v>9478</v>
      </c>
      <c r="H35" s="3" t="s">
        <v>18</v>
      </c>
      <c r="I35" s="3">
        <v>46846</v>
      </c>
      <c r="K35" s="5" t="s">
        <v>144</v>
      </c>
      <c r="R35">
        <f>COUNTIFS(C2:C52,C4,D2:D52,D2)</f>
        <v>6</v>
      </c>
      <c r="S35" t="str">
        <f ca="1">_xlfn.FORMULATEXT(R35)</f>
        <v>=COUNTIFS(C2:C52,C4,D2:D52,D2)</v>
      </c>
    </row>
    <row r="36" spans="1:20" ht="20.5" thickBot="1" x14ac:dyDescent="0.4">
      <c r="A36" s="3" t="s">
        <v>88</v>
      </c>
      <c r="B36" s="3" t="s">
        <v>89</v>
      </c>
      <c r="C36" s="3" t="s">
        <v>21</v>
      </c>
      <c r="D36" s="3" t="s">
        <v>30</v>
      </c>
      <c r="E36" s="3">
        <v>3</v>
      </c>
      <c r="F36" s="4">
        <v>71075</v>
      </c>
      <c r="G36" s="3">
        <v>11725</v>
      </c>
      <c r="H36" s="3" t="s">
        <v>37</v>
      </c>
      <c r="I36" s="3">
        <v>55397</v>
      </c>
      <c r="K36" s="5" t="s">
        <v>145</v>
      </c>
      <c r="R36">
        <f>COUNTIFS(C2:C52,C3,G2:G52,"&gt;"&amp;G45)</f>
        <v>3</v>
      </c>
      <c r="S36" t="str">
        <f ca="1">_xlfn.FORMULATEXT(R36)</f>
        <v>=COUNTIFS(C2:C52,C3,G2:G52,"&gt;"&amp;G45)</v>
      </c>
    </row>
    <row r="37" spans="1:20" ht="20.5" thickBot="1" x14ac:dyDescent="0.4">
      <c r="A37" s="3" t="s">
        <v>90</v>
      </c>
      <c r="B37" s="3" t="s">
        <v>91</v>
      </c>
      <c r="C37" s="3" t="s">
        <v>16</v>
      </c>
      <c r="D37" s="3" t="s">
        <v>30</v>
      </c>
      <c r="E37" s="3">
        <v>9</v>
      </c>
      <c r="F37" s="4">
        <v>86660</v>
      </c>
      <c r="G37" s="3">
        <v>2082</v>
      </c>
      <c r="H37" s="3" t="s">
        <v>18</v>
      </c>
      <c r="I37" s="3">
        <v>45512</v>
      </c>
    </row>
    <row r="38" spans="1:20" ht="20.5" thickBot="1" x14ac:dyDescent="0.4">
      <c r="A38" s="3" t="s">
        <v>92</v>
      </c>
      <c r="B38" s="3" t="s">
        <v>93</v>
      </c>
      <c r="C38" s="3" t="s">
        <v>21</v>
      </c>
      <c r="D38" s="3" t="s">
        <v>12</v>
      </c>
      <c r="E38" s="3">
        <v>7</v>
      </c>
      <c r="F38" s="4">
        <v>38928</v>
      </c>
      <c r="G38" s="3">
        <v>7813</v>
      </c>
      <c r="H38" s="3" t="s">
        <v>13</v>
      </c>
      <c r="I38" s="3">
        <v>153748</v>
      </c>
    </row>
    <row r="39" spans="1:20" ht="20.5" thickBot="1" x14ac:dyDescent="0.4">
      <c r="A39" s="3" t="s">
        <v>94</v>
      </c>
      <c r="B39" s="3" t="s">
        <v>95</v>
      </c>
      <c r="C39" s="3" t="s">
        <v>21</v>
      </c>
      <c r="D39" s="3" t="s">
        <v>12</v>
      </c>
      <c r="E39" s="3">
        <v>9</v>
      </c>
      <c r="F39" s="4">
        <v>84208</v>
      </c>
      <c r="G39" s="3">
        <v>13269</v>
      </c>
      <c r="H39" s="3" t="s">
        <v>13</v>
      </c>
      <c r="I39" s="3">
        <v>124796</v>
      </c>
      <c r="K39" s="6" t="s">
        <v>146</v>
      </c>
    </row>
    <row r="40" spans="1:20" ht="20.5" thickBot="1" x14ac:dyDescent="0.4">
      <c r="A40" s="3" t="s">
        <v>96</v>
      </c>
      <c r="B40" s="3" t="s">
        <v>97</v>
      </c>
      <c r="C40" s="3" t="s">
        <v>25</v>
      </c>
      <c r="D40" s="3" t="s">
        <v>17</v>
      </c>
      <c r="E40" s="3">
        <v>6</v>
      </c>
      <c r="F40" s="4">
        <v>44537</v>
      </c>
      <c r="G40" s="3">
        <v>14598</v>
      </c>
      <c r="H40" s="3" t="s">
        <v>18</v>
      </c>
      <c r="I40" s="3">
        <v>108583</v>
      </c>
      <c r="K40" s="5" t="s">
        <v>147</v>
      </c>
      <c r="R40">
        <f>AVERAGE(F2:F52)</f>
        <v>57900.72</v>
      </c>
      <c r="S40" t="str">
        <f ca="1">_xlfn.FORMULATEXT(R40)</f>
        <v>=AVERAGE(F2:F52)</v>
      </c>
    </row>
    <row r="41" spans="1:20" ht="20.5" thickBot="1" x14ac:dyDescent="0.4">
      <c r="A41" s="3" t="s">
        <v>98</v>
      </c>
      <c r="B41" s="3" t="s">
        <v>99</v>
      </c>
      <c r="C41" s="3" t="s">
        <v>11</v>
      </c>
      <c r="D41" s="3" t="s">
        <v>17</v>
      </c>
      <c r="E41" s="3">
        <v>7</v>
      </c>
      <c r="F41" s="4">
        <v>76280</v>
      </c>
      <c r="G41" s="3">
        <v>9004</v>
      </c>
      <c r="H41" s="3" t="s">
        <v>13</v>
      </c>
      <c r="I41" s="3">
        <v>20721</v>
      </c>
      <c r="K41" s="5" t="s">
        <v>148</v>
      </c>
      <c r="R41">
        <f>AVERAGE(G2:G52)</f>
        <v>8167.5</v>
      </c>
      <c r="S41" t="str">
        <f ca="1">_xlfn.FORMULATEXT(R41)</f>
        <v>=AVERAGE(G2:G52)</v>
      </c>
    </row>
    <row r="42" spans="1:20" ht="20.5" thickBot="1" x14ac:dyDescent="0.4">
      <c r="A42" s="3" t="s">
        <v>100</v>
      </c>
      <c r="B42" s="3" t="s">
        <v>101</v>
      </c>
      <c r="C42" s="3" t="s">
        <v>25</v>
      </c>
      <c r="D42" s="3" t="s">
        <v>17</v>
      </c>
      <c r="E42" s="3">
        <v>6</v>
      </c>
      <c r="F42" s="4">
        <v>60374</v>
      </c>
      <c r="G42" s="3">
        <v>2171</v>
      </c>
      <c r="H42" s="3" t="s">
        <v>37</v>
      </c>
      <c r="I42" s="3">
        <v>54018</v>
      </c>
      <c r="K42" s="5" t="s">
        <v>149</v>
      </c>
      <c r="R42">
        <f>AVERAGE(I2:I52)</f>
        <v>113762.56</v>
      </c>
      <c r="S42" t="str">
        <f ca="1">_xlfn.FORMULATEXT(R42)</f>
        <v>=AVERAGE(I2:I52)</v>
      </c>
    </row>
    <row r="43" spans="1:20" ht="20.5" thickBot="1" x14ac:dyDescent="0.4">
      <c r="A43" s="3" t="s">
        <v>102</v>
      </c>
      <c r="B43" s="3" t="s">
        <v>103</v>
      </c>
      <c r="C43" s="3" t="s">
        <v>16</v>
      </c>
      <c r="D43" s="3" t="s">
        <v>12</v>
      </c>
      <c r="E43" s="3">
        <v>1</v>
      </c>
      <c r="F43" s="4">
        <v>56384</v>
      </c>
      <c r="G43" s="3">
        <v>4454</v>
      </c>
      <c r="H43" s="3" t="s">
        <v>13</v>
      </c>
      <c r="I43" s="3">
        <v>113397</v>
      </c>
      <c r="K43" s="5" t="s">
        <v>150</v>
      </c>
      <c r="R43">
        <f>AVERAGE(E2:E52)</f>
        <v>5.36</v>
      </c>
      <c r="S43" t="str">
        <f ca="1">_xlfn.FORMULATEXT(R43)</f>
        <v>=AVERAGE(E2:E52)</v>
      </c>
    </row>
    <row r="44" spans="1:20" ht="20.5" thickBot="1" x14ac:dyDescent="0.4">
      <c r="A44" s="3" t="s">
        <v>104</v>
      </c>
      <c r="B44" s="3" t="s">
        <v>105</v>
      </c>
      <c r="C44" s="3" t="s">
        <v>11</v>
      </c>
      <c r="D44" s="3" t="s">
        <v>30</v>
      </c>
      <c r="E44" s="3">
        <v>2</v>
      </c>
      <c r="F44" s="4">
        <v>46535</v>
      </c>
      <c r="G44" s="3">
        <v>7926</v>
      </c>
      <c r="H44" s="3" t="s">
        <v>13</v>
      </c>
      <c r="I44" s="3">
        <v>117437</v>
      </c>
      <c r="K44" s="5" t="s">
        <v>151</v>
      </c>
      <c r="R44">
        <f>AVERAGE(F2:F21)</f>
        <v>56272.800000000003</v>
      </c>
      <c r="S44" t="str">
        <f ca="1">_xlfn.FORMULATEXT(R44)</f>
        <v>=AVERAGE(F2:F21)</v>
      </c>
    </row>
    <row r="45" spans="1:20" ht="20.5" thickBot="1" x14ac:dyDescent="0.4">
      <c r="A45" s="3" t="s">
        <v>106</v>
      </c>
      <c r="B45" s="3" t="s">
        <v>107</v>
      </c>
      <c r="C45" s="3" t="s">
        <v>29</v>
      </c>
      <c r="D45" s="3" t="s">
        <v>12</v>
      </c>
      <c r="E45" s="3">
        <v>7</v>
      </c>
      <c r="F45" s="4">
        <v>41806</v>
      </c>
      <c r="G45" s="3">
        <v>7164</v>
      </c>
      <c r="H45" s="3" t="s">
        <v>13</v>
      </c>
      <c r="I45" s="3">
        <v>60748</v>
      </c>
    </row>
    <row r="46" spans="1:20" ht="20.5" thickBot="1" x14ac:dyDescent="0.4">
      <c r="A46" s="3" t="s">
        <v>108</v>
      </c>
      <c r="B46" s="3" t="s">
        <v>109</v>
      </c>
      <c r="C46" s="3" t="s">
        <v>21</v>
      </c>
      <c r="D46" s="3" t="s">
        <v>12</v>
      </c>
      <c r="E46" s="3">
        <v>4</v>
      </c>
      <c r="F46" s="4">
        <v>82543</v>
      </c>
      <c r="G46" s="3">
        <v>6924</v>
      </c>
      <c r="H46" s="3" t="s">
        <v>18</v>
      </c>
      <c r="I46" s="3">
        <v>120384</v>
      </c>
    </row>
    <row r="47" spans="1:20" ht="20.5" thickBot="1" x14ac:dyDescent="0.4">
      <c r="A47" s="3" t="s">
        <v>110</v>
      </c>
      <c r="B47" s="3" t="s">
        <v>111</v>
      </c>
      <c r="C47" s="3" t="s">
        <v>25</v>
      </c>
      <c r="D47" s="3" t="s">
        <v>17</v>
      </c>
      <c r="E47" s="3">
        <v>10</v>
      </c>
      <c r="F47" s="4">
        <v>42015</v>
      </c>
      <c r="G47" s="3">
        <v>3664</v>
      </c>
      <c r="H47" s="3" t="s">
        <v>13</v>
      </c>
      <c r="I47" s="3">
        <v>119149</v>
      </c>
      <c r="K47" s="6" t="s">
        <v>152</v>
      </c>
    </row>
    <row r="48" spans="1:20" ht="20.5" thickBot="1" x14ac:dyDescent="0.4">
      <c r="A48" s="3" t="s">
        <v>112</v>
      </c>
      <c r="B48" s="3" t="s">
        <v>113</v>
      </c>
      <c r="C48" s="3" t="s">
        <v>11</v>
      </c>
      <c r="D48" s="3" t="s">
        <v>17</v>
      </c>
      <c r="E48" s="3">
        <v>3</v>
      </c>
      <c r="F48" s="4">
        <v>77492</v>
      </c>
      <c r="G48" s="3">
        <v>9650</v>
      </c>
      <c r="H48" s="3" t="s">
        <v>37</v>
      </c>
      <c r="I48" s="3">
        <v>111255</v>
      </c>
      <c r="K48" s="5" t="s">
        <v>153</v>
      </c>
      <c r="S48">
        <f>AVERAGEIFS(F2:F52,C2:C52,C4)</f>
        <v>55947.071428571428</v>
      </c>
      <c r="T48" t="str">
        <f ca="1">_xlfn.FORMULATEXT(S48)</f>
        <v>=AVERAGEIFS(F2:F52,C2:C52,C4)</v>
      </c>
    </row>
    <row r="49" spans="1:20" ht="20.5" thickBot="1" x14ac:dyDescent="0.4">
      <c r="A49" s="3" t="s">
        <v>114</v>
      </c>
      <c r="B49" s="3" t="s">
        <v>115</v>
      </c>
      <c r="C49" s="3" t="s">
        <v>29</v>
      </c>
      <c r="D49" s="3" t="s">
        <v>30</v>
      </c>
      <c r="E49" s="3">
        <v>6</v>
      </c>
      <c r="F49" s="4">
        <v>69334</v>
      </c>
      <c r="G49" s="3">
        <v>6183</v>
      </c>
      <c r="H49" s="3" t="s">
        <v>37</v>
      </c>
      <c r="I49" s="3">
        <v>41963</v>
      </c>
      <c r="K49" s="5" t="s">
        <v>154</v>
      </c>
      <c r="S49">
        <f>AVERAGEIFS(G2:G52,H2:H52,H3)</f>
        <v>6651.5714285714284</v>
      </c>
      <c r="T49" t="str">
        <f ca="1">_xlfn.FORMULATEXT(S49)</f>
        <v>=AVERAGEIFS(G2:G52,H2:H52,H3)</v>
      </c>
    </row>
    <row r="50" spans="1:20" ht="20.5" thickBot="1" x14ac:dyDescent="0.4">
      <c r="A50" s="3" t="s">
        <v>116</v>
      </c>
      <c r="B50" s="3" t="s">
        <v>117</v>
      </c>
      <c r="C50" s="3" t="s">
        <v>11</v>
      </c>
      <c r="D50" s="3" t="s">
        <v>26</v>
      </c>
      <c r="E50" s="3">
        <v>7</v>
      </c>
      <c r="F50" s="4">
        <v>50043</v>
      </c>
      <c r="G50" s="3">
        <v>12563</v>
      </c>
      <c r="H50" s="3" t="s">
        <v>13</v>
      </c>
      <c r="I50" s="3">
        <v>167624</v>
      </c>
      <c r="K50" s="5" t="s">
        <v>155</v>
      </c>
      <c r="S50">
        <f>AVERAGEIFS(I2:I52,D2:D52,D5)</f>
        <v>152838</v>
      </c>
      <c r="T50" t="str">
        <f ca="1">_xlfn.FORMULATEXT(S50)</f>
        <v>=AVERAGEIFS(I2:I52,D2:D52,D5)</v>
      </c>
    </row>
    <row r="51" spans="1:20" ht="20.5" thickBot="1" x14ac:dyDescent="0.4">
      <c r="A51" s="3" t="s">
        <v>118</v>
      </c>
      <c r="B51" s="3" t="s">
        <v>119</v>
      </c>
      <c r="C51" s="3" t="s">
        <v>11</v>
      </c>
      <c r="D51" s="3" t="s">
        <v>30</v>
      </c>
      <c r="E51" s="3">
        <v>6</v>
      </c>
      <c r="F51" s="4">
        <v>78606</v>
      </c>
      <c r="G51" s="3">
        <v>7797</v>
      </c>
      <c r="H51" s="3" t="s">
        <v>18</v>
      </c>
      <c r="I51" s="3">
        <v>176572</v>
      </c>
      <c r="K51" s="5" t="s">
        <v>156</v>
      </c>
      <c r="S51">
        <f>AVERAGEIFS(F2:F52,E2:E52,"&gt;"&amp;E12)</f>
        <v>58667.291666666664</v>
      </c>
      <c r="T51" t="str">
        <f ca="1">_xlfn.FORMULATEXT(S51)</f>
        <v>=AVERAGEIFS(F2:F52,E2:E52,"&gt;"&amp;E12)</v>
      </c>
    </row>
    <row r="52" spans="1:20" ht="20.5" thickBot="1" x14ac:dyDescent="0.4">
      <c r="A52" s="3" t="s">
        <v>120</v>
      </c>
      <c r="B52" s="3" t="s">
        <v>121</v>
      </c>
      <c r="C52" s="3" t="s">
        <v>21</v>
      </c>
      <c r="D52" s="3" t="s">
        <v>12</v>
      </c>
      <c r="E52" s="3">
        <v>1</v>
      </c>
      <c r="F52" s="4">
        <v>43252</v>
      </c>
      <c r="G52" s="3">
        <v>5727</v>
      </c>
      <c r="H52" s="3" t="s">
        <v>13</v>
      </c>
      <c r="I52" s="3">
        <v>135144</v>
      </c>
      <c r="K52" s="5" t="s">
        <v>157</v>
      </c>
      <c r="S52">
        <f>AVERAGEIFS(G2:G52,C2:C52,C6,H2:H52,H6)</f>
        <v>7938</v>
      </c>
      <c r="T52" t="str">
        <f ca="1">_xlfn.FORMULATEXT(S52)</f>
        <v>=AVERAGEIFS(G2:G52,C2:C52,C6,H2:H52,H6)</v>
      </c>
    </row>
    <row r="58" spans="1:20" ht="18" x14ac:dyDescent="0.35">
      <c r="K58" s="6" t="s">
        <v>158</v>
      </c>
    </row>
    <row r="59" spans="1:20" x14ac:dyDescent="0.35">
      <c r="K59" s="5" t="s">
        <v>159</v>
      </c>
      <c r="P59">
        <f>LARGE( F2:F52,1)</f>
        <v>86826</v>
      </c>
      <c r="Q59" t="str">
        <f ca="1">_xlfn.FORMULATEXT(P59)</f>
        <v>=LARGE( F2:F52,1)</v>
      </c>
    </row>
    <row r="60" spans="1:20" x14ac:dyDescent="0.35">
      <c r="K60" s="5" t="s">
        <v>160</v>
      </c>
      <c r="P60">
        <f>LARGE(G2:G52,2)</f>
        <v>14447</v>
      </c>
      <c r="Q60" t="str">
        <f ca="1">_xlfn.FORMULATEXT(P60)</f>
        <v>=LARGE(G2:G52,2)</v>
      </c>
    </row>
    <row r="61" spans="1:20" x14ac:dyDescent="0.35">
      <c r="K61" s="5" t="s">
        <v>161</v>
      </c>
      <c r="P61">
        <f>LARGE(I2:I52,3)</f>
        <v>186116</v>
      </c>
      <c r="Q61" t="str">
        <f ca="1">_xlfn.FORMULATEXT(P61)</f>
        <v>=LARGE(I2:I52,3)</v>
      </c>
    </row>
    <row r="62" spans="1:20" x14ac:dyDescent="0.35">
      <c r="K62" s="5" t="s">
        <v>162</v>
      </c>
      <c r="P62">
        <f>LARGE(F2:F52,5)</f>
        <v>82543</v>
      </c>
      <c r="Q62" t="str">
        <f ca="1">_xlfn.FORMULATEXT(P62)</f>
        <v>=LARGE(F2:F52,5)</v>
      </c>
    </row>
    <row r="63" spans="1:20" x14ac:dyDescent="0.35">
      <c r="K63" s="5" t="s">
        <v>163</v>
      </c>
      <c r="P63">
        <f>LARGE(G2:G52,4)</f>
        <v>14276</v>
      </c>
      <c r="Q63" t="str">
        <f ca="1">_xlfn.FORMULATEXT(P63)</f>
        <v>=LARGE(G2:G52,4)</v>
      </c>
    </row>
    <row r="67" spans="11:19" ht="18" x14ac:dyDescent="0.35">
      <c r="K67" s="6" t="s">
        <v>164</v>
      </c>
    </row>
    <row r="68" spans="11:19" x14ac:dyDescent="0.35">
      <c r="K68" s="5" t="s">
        <v>165</v>
      </c>
      <c r="P68">
        <f>SMALL(F2:F52,1)</f>
        <v>26938</v>
      </c>
      <c r="Q68" t="str">
        <f ca="1">_xlfn.FORMULATEXT(P68)</f>
        <v>=SMALL(F2:F52,1)</v>
      </c>
    </row>
    <row r="69" spans="11:19" x14ac:dyDescent="0.35">
      <c r="K69" s="5" t="s">
        <v>166</v>
      </c>
      <c r="P69">
        <f>SMALL(G2:G52,2)</f>
        <v>2171</v>
      </c>
      <c r="Q69" t="str">
        <f ca="1">_xlfn.FORMULATEXT(P69)</f>
        <v>=SMALL(G2:G52,2)</v>
      </c>
    </row>
    <row r="70" spans="11:19" x14ac:dyDescent="0.35">
      <c r="K70" s="5" t="s">
        <v>167</v>
      </c>
      <c r="P70">
        <f>SMALL(I2:I52,3)</f>
        <v>20721</v>
      </c>
      <c r="Q70" t="str">
        <f ca="1">_xlfn.FORMULATEXT(P70)</f>
        <v>=SMALL(I2:I52,3)</v>
      </c>
    </row>
    <row r="71" spans="11:19" x14ac:dyDescent="0.35">
      <c r="K71" s="5" t="s">
        <v>168</v>
      </c>
      <c r="P71">
        <f>SMALL(F2:F52,5)</f>
        <v>39392</v>
      </c>
      <c r="Q71" t="str">
        <f ca="1">_xlfn.FORMULATEXT(P71)</f>
        <v>=SMALL(F2:F52,5)</v>
      </c>
    </row>
    <row r="72" spans="11:19" x14ac:dyDescent="0.35">
      <c r="K72" s="5" t="s">
        <v>169</v>
      </c>
      <c r="P72">
        <f>SMALL(G2:G52,4)</f>
        <v>2372</v>
      </c>
      <c r="Q72" t="str">
        <f ca="1">_xlfn.FORMULATEXT(P72)</f>
        <v>=SMALL(G2:G52,4)</v>
      </c>
    </row>
    <row r="75" spans="11:19" ht="18" x14ac:dyDescent="0.35">
      <c r="K75" s="6" t="s">
        <v>170</v>
      </c>
    </row>
    <row r="76" spans="11:19" x14ac:dyDescent="0.35">
      <c r="K76" s="5" t="s">
        <v>171</v>
      </c>
      <c r="R76">
        <f>RANK(I7,I2:I52,0)</f>
        <v>17</v>
      </c>
      <c r="S76" t="str">
        <f ca="1">_xlfn.FORMULATEXT(R76)</f>
        <v>=RANK(I7,I2:I52,0)</v>
      </c>
    </row>
    <row r="77" spans="11:19" x14ac:dyDescent="0.35">
      <c r="K77" s="5" t="s">
        <v>172</v>
      </c>
      <c r="R77">
        <f>RANK(G2,G2:G52,0)</f>
        <v>2</v>
      </c>
      <c r="S77" t="str">
        <f ca="1">_xlfn.FORMULATEXT(R77)</f>
        <v>=RANK(G2,G2:G52,0)</v>
      </c>
    </row>
    <row r="78" spans="11:19" x14ac:dyDescent="0.35">
      <c r="K78" s="5" t="s">
        <v>173</v>
      </c>
      <c r="R78">
        <f>RANK(I2,I2:I52,0)</f>
        <v>22</v>
      </c>
      <c r="S78" t="str">
        <f ca="1">_xlfn.FORMULATEXT(R78)</f>
        <v>=RANK(I2,I2:I52,0)</v>
      </c>
    </row>
    <row r="79" spans="11:19" x14ac:dyDescent="0.35">
      <c r="K79" s="5" t="s">
        <v>174</v>
      </c>
      <c r="R79">
        <f>RANK(MAX(I11),I2:I52,0)</f>
        <v>2</v>
      </c>
      <c r="S79" t="str">
        <f ca="1">_xlfn.FORMULATEXT(R79)</f>
        <v>=RANK(MAX(I11),I2:I52,0)</v>
      </c>
    </row>
    <row r="80" spans="11:19" x14ac:dyDescent="0.35">
      <c r="K80" s="5" t="s">
        <v>175</v>
      </c>
      <c r="R80">
        <f>RANK(E15,E2:E52,0)</f>
        <v>1</v>
      </c>
      <c r="S80" t="str">
        <f ca="1">_xlfn.FORMULATEXT(R80)</f>
        <v>=RANK(E15,E2:E52,0)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Javvaji</dc:creator>
  <cp:lastModifiedBy>Pradeep Javvaji</cp:lastModifiedBy>
  <dcterms:created xsi:type="dcterms:W3CDTF">2026-05-13T10:26:24Z</dcterms:created>
  <dcterms:modified xsi:type="dcterms:W3CDTF">2026-05-14T08:32:07Z</dcterms:modified>
</cp:coreProperties>
</file>